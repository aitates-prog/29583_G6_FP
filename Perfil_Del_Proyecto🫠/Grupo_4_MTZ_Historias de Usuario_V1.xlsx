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wnloads\"/>
    </mc:Choice>
  </mc:AlternateContent>
  <xr:revisionPtr revIDLastSave="0" documentId="13_ncr:1_{ABAE16A9-4221-4831-9E14-5F0C2A415626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H10" i="2"/>
  <c r="H13" i="2"/>
  <c r="E22" i="2"/>
  <c r="E19" i="2"/>
  <c r="M15" i="2"/>
  <c r="H15" i="2"/>
  <c r="D15" i="2"/>
  <c r="E13" i="2"/>
  <c r="C13" i="2"/>
  <c r="E10" i="2"/>
</calcChain>
</file>

<file path=xl/sharedStrings.xml><?xml version="1.0" encoding="utf-8"?>
<sst xmlns="http://schemas.openxmlformats.org/spreadsheetml/2006/main" count="132" uniqueCount="97">
  <si>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</si>
  <si>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</si>
  <si>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</si>
  <si>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</si>
  <si>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</si>
  <si>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</si>
  <si>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</si>
  <si>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</si>
  <si>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</si>
  <si>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</si>
  <si>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</si>
  <si>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</si>
  <si>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</si>
  <si>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</si>
  <si>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</si>
  <si>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</si>
  <si>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programa debe permitir iniciar sesión como empleado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</si>
  <si>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</si>
  <si>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</si>
  <si>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</si>
  <si>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</si>
  <si>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</si>
  <si>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</si>
  <si>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</si>
  <si>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</si>
  <si>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</si>
  <si>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</si>
  <si>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</si>
  <si>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</si>
  <si>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</si>
  <si>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</si>
  <si>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</si>
  <si>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</si>
  <si>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</si>
  <si>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HU-01</t>
  </si>
  <si>
    <t>Apertura manual insegura del garaje</t>
  </si>
  <si>
    <t>HU-02</t>
  </si>
  <si>
    <t>HU-03</t>
  </si>
  <si>
    <t>HU-04</t>
  </si>
  <si>
    <t>HU-05</t>
  </si>
  <si>
    <t>HU-06</t>
  </si>
  <si>
    <t>HU-07</t>
  </si>
  <si>
    <t>Automatizar la apertura y cierre de la puerta</t>
  </si>
  <si>
    <t>Facilitar el acceso vehicular de forma segura y cómoda</t>
  </si>
  <si>
    <t>Diseñar el sistema eléctrico con Arduino, puente H y motor DC</t>
  </si>
  <si>
    <t>El motor abre y cierra la puerta al presionar un botón</t>
  </si>
  <si>
    <t>Primera versión del sistema</t>
  </si>
  <si>
    <t>Control de puerta</t>
  </si>
  <si>
    <t>El motor gira en ambos sentidos según la señal</t>
  </si>
  <si>
    <t>Uso correcto del puente H</t>
  </si>
  <si>
    <t>Control del motor</t>
  </si>
  <si>
    <t>Simulación funcional sin errores</t>
  </si>
  <si>
    <t>Simulación previa obligatoria</t>
  </si>
  <si>
    <t>Simulación electrónica</t>
  </si>
  <si>
    <t>2025-11-31</t>
  </si>
  <si>
    <t>El código ejecuta correctamente las funciones</t>
  </si>
  <si>
    <t>Código documentado</t>
  </si>
  <si>
    <t>Lógica de control</t>
  </si>
  <si>
    <t>El motor funciona sin caídas de voltaje</t>
  </si>
  <si>
    <t>Separación de fuentes</t>
  </si>
  <si>
    <t>Alimentación</t>
  </si>
  <si>
    <t>El sistema responde correctamente en varias pruebas</t>
  </si>
  <si>
    <t>Pruebas de carga</t>
  </si>
  <si>
    <t>Prototípo físico</t>
  </si>
  <si>
    <t>Falta de control del motor</t>
  </si>
  <si>
    <t>Controlar el sentido de giro de motor</t>
  </si>
  <si>
    <t>Permitir apertura y cierra controlado</t>
  </si>
  <si>
    <t>Usuario</t>
  </si>
  <si>
    <t>Conectar y configurar el puente H (L298N/L293D)</t>
  </si>
  <si>
    <t>Riesgo de errores eléctronicos</t>
  </si>
  <si>
    <t>Validar conexciones antes del montaje físico</t>
  </si>
  <si>
    <t>Evitar daños en componentes</t>
  </si>
  <si>
    <t>Estudiante</t>
  </si>
  <si>
    <t>Simular el circuito completo en Proteus</t>
  </si>
  <si>
    <t>Falta lógica de control</t>
  </si>
  <si>
    <t>Programar apertura, cierre y seguridad</t>
  </si>
  <si>
    <t>Automatizar el funcionamiento del sistema</t>
  </si>
  <si>
    <t>Desarrollador el código en Arduino IDE</t>
  </si>
  <si>
    <t>Alimentación inestible</t>
  </si>
  <si>
    <t>Integrar fuente externa para el motor</t>
  </si>
  <si>
    <t>Garantizar funcionamiento continuo</t>
  </si>
  <si>
    <t>Sistema</t>
  </si>
  <si>
    <t>Conectar la fuenta de  12V independiente del Arduino</t>
  </si>
  <si>
    <t>Falta de pruebas físicas</t>
  </si>
  <si>
    <t>Validar el sistema real</t>
  </si>
  <si>
    <t>Comprobar confiabildad del prototipo</t>
  </si>
  <si>
    <t>Cliente</t>
  </si>
  <si>
    <t xml:space="preserve">Montaje en protoboard y pruebas repetitvas </t>
  </si>
  <si>
    <t>GRUPO 6</t>
  </si>
  <si>
    <t>Administradora</t>
  </si>
  <si>
    <t xml:space="preserve">Crear un sistema el cual ayude a la usuaria a gestionar el stock de su local </t>
  </si>
  <si>
    <t>Para poder evitar fallos y/o tener un control sobre los egresos e ingresos, y falta de productos</t>
  </si>
  <si>
    <t>Ingreso y salida de productos del local, ganancias</t>
  </si>
  <si>
    <t>Manejo de stock</t>
  </si>
  <si>
    <t>El usuario podrá ver el registro según vaya actualizando en el programa en sus ingresos y egresos de salida</t>
  </si>
  <si>
    <t>Grupo6</t>
  </si>
  <si>
    <t>Registro y mantenimiento diario del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</si>
</sst>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opLeftCell="A10" zoomScale="70" zoomScaleNormal="70" workbookViewId="0">
      <selection activeCell="H15" sqref="H15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27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02" customHeight="1" x14ac:dyDescent="0.3">
      <c r="B6" s="39" t="s">
        <v>15</v>
      </c>
      <c r="C6" s="39" t="s">
        <v>16</v>
      </c>
      <c r="D6" s="39" t="s">
        <v>90</v>
      </c>
      <c r="E6" s="39" t="s">
        <v>91</v>
      </c>
      <c r="F6" s="39" t="s">
        <v>89</v>
      </c>
      <c r="G6" s="39" t="s">
        <v>92</v>
      </c>
      <c r="H6" s="39" t="s">
        <v>95</v>
      </c>
      <c r="I6" s="39">
        <v>2</v>
      </c>
      <c r="J6" s="40">
        <v>46001</v>
      </c>
      <c r="K6" s="39" t="s">
        <v>21</v>
      </c>
      <c r="L6" s="39" t="s">
        <v>18</v>
      </c>
      <c r="M6" s="41" t="s">
        <v>94</v>
      </c>
      <c r="N6" s="39"/>
      <c r="O6" s="39" t="s">
        <v>93</v>
      </c>
    </row>
    <row r="7" spans="1:26" ht="75.75" customHeight="1" x14ac:dyDescent="0.3">
      <c r="B7" s="28" t="s">
        <v>34</v>
      </c>
      <c r="C7" s="28" t="s">
        <v>35</v>
      </c>
      <c r="D7" s="28" t="s">
        <v>42</v>
      </c>
      <c r="E7" s="28" t="s">
        <v>43</v>
      </c>
      <c r="F7" s="28" t="s">
        <v>43</v>
      </c>
      <c r="G7" s="28" t="s">
        <v>44</v>
      </c>
      <c r="H7" s="28" t="s">
        <v>88</v>
      </c>
      <c r="I7" s="28">
        <v>6</v>
      </c>
      <c r="J7" s="29">
        <v>45972</v>
      </c>
      <c r="K7" s="28" t="s">
        <v>17</v>
      </c>
      <c r="L7" s="28" t="s">
        <v>18</v>
      </c>
      <c r="M7" s="30" t="s">
        <v>45</v>
      </c>
      <c r="N7" s="28" t="s">
        <v>46</v>
      </c>
      <c r="O7" s="28" t="s">
        <v>47</v>
      </c>
    </row>
    <row r="8" spans="1:26" ht="75.75" customHeight="1" x14ac:dyDescent="0.3">
      <c r="B8" s="28" t="s">
        <v>36</v>
      </c>
      <c r="C8" s="28" t="s">
        <v>64</v>
      </c>
      <c r="D8" s="28" t="s">
        <v>65</v>
      </c>
      <c r="E8" s="28" t="s">
        <v>66</v>
      </c>
      <c r="F8" s="28" t="s">
        <v>67</v>
      </c>
      <c r="G8" s="28" t="s">
        <v>68</v>
      </c>
      <c r="H8" s="28" t="s">
        <v>88</v>
      </c>
      <c r="I8" s="28">
        <v>5</v>
      </c>
      <c r="J8" s="29">
        <v>45979</v>
      </c>
      <c r="K8" s="28" t="s">
        <v>17</v>
      </c>
      <c r="L8" s="28" t="s">
        <v>18</v>
      </c>
      <c r="M8" s="30" t="s">
        <v>48</v>
      </c>
      <c r="N8" s="28" t="s">
        <v>49</v>
      </c>
      <c r="O8" s="28" t="s">
        <v>50</v>
      </c>
    </row>
    <row r="9" spans="1:26" ht="75.75" customHeight="1" x14ac:dyDescent="0.3">
      <c r="B9" s="28" t="s">
        <v>37</v>
      </c>
      <c r="C9" s="28" t="s">
        <v>69</v>
      </c>
      <c r="D9" s="31" t="s">
        <v>70</v>
      </c>
      <c r="E9" s="28" t="s">
        <v>71</v>
      </c>
      <c r="F9" s="28" t="s">
        <v>72</v>
      </c>
      <c r="G9" s="32" t="s">
        <v>73</v>
      </c>
      <c r="H9" s="28" t="s">
        <v>88</v>
      </c>
      <c r="I9" s="28">
        <v>4</v>
      </c>
      <c r="J9" s="29">
        <v>45986</v>
      </c>
      <c r="K9" s="28" t="s">
        <v>17</v>
      </c>
      <c r="L9" s="28" t="s">
        <v>18</v>
      </c>
      <c r="M9" s="28" t="s">
        <v>51</v>
      </c>
      <c r="N9" s="28" t="s">
        <v>52</v>
      </c>
      <c r="O9" s="28" t="s">
        <v>53</v>
      </c>
    </row>
    <row r="10" spans="1:26" ht="75.75" customHeight="1" x14ac:dyDescent="0.3">
      <c r="B10" s="28" t="s">
        <v>38</v>
      </c>
      <c r="C10" s="28" t="s">
        <v>74</v>
      </c>
      <c r="D10" s="32" t="s">
        <v>75</v>
      </c>
      <c r="E10" s="28" t="s">
        <v>76</v>
      </c>
      <c r="F10" s="28" t="s">
        <v>67</v>
      </c>
      <c r="G10" s="32" t="s">
        <v>77</v>
      </c>
      <c r="H10" s="28" t="s">
        <v>88</v>
      </c>
      <c r="I10" s="28">
        <v>6</v>
      </c>
      <c r="J10" s="29" t="s">
        <v>54</v>
      </c>
      <c r="K10" s="28" t="s">
        <v>17</v>
      </c>
      <c r="L10" s="28" t="s">
        <v>18</v>
      </c>
      <c r="M10" s="28" t="s">
        <v>55</v>
      </c>
      <c r="N10" s="28" t="s">
        <v>56</v>
      </c>
      <c r="O10" s="28" t="s">
        <v>57</v>
      </c>
    </row>
    <row r="11" spans="1:26" ht="64.5" customHeight="1" x14ac:dyDescent="0.3">
      <c r="B11" s="28" t="s">
        <v>39</v>
      </c>
      <c r="C11" s="28" t="s">
        <v>78</v>
      </c>
      <c r="D11" s="28" t="s">
        <v>79</v>
      </c>
      <c r="E11" s="28" t="s">
        <v>80</v>
      </c>
      <c r="F11" s="28" t="s">
        <v>81</v>
      </c>
      <c r="G11" s="28" t="s">
        <v>82</v>
      </c>
      <c r="H11" s="28" t="s">
        <v>88</v>
      </c>
      <c r="I11" s="28">
        <v>3</v>
      </c>
      <c r="J11" s="29">
        <v>45994</v>
      </c>
      <c r="K11" s="28" t="s">
        <v>21</v>
      </c>
      <c r="L11" s="28" t="s">
        <v>18</v>
      </c>
      <c r="M11" s="30" t="s">
        <v>58</v>
      </c>
      <c r="N11" s="28" t="s">
        <v>59</v>
      </c>
      <c r="O11" s="28" t="s">
        <v>60</v>
      </c>
    </row>
    <row r="12" spans="1:26" ht="61.5" customHeight="1" x14ac:dyDescent="0.3">
      <c r="B12" s="28" t="s">
        <v>40</v>
      </c>
      <c r="C12" s="28" t="s">
        <v>83</v>
      </c>
      <c r="D12" s="31" t="s">
        <v>84</v>
      </c>
      <c r="E12" s="28" t="s">
        <v>85</v>
      </c>
      <c r="F12" s="28" t="s">
        <v>86</v>
      </c>
      <c r="G12" s="32" t="s">
        <v>87</v>
      </c>
      <c r="H12" s="28" t="s">
        <v>88</v>
      </c>
      <c r="I12" s="28">
        <v>5</v>
      </c>
      <c r="J12" s="29">
        <v>46003</v>
      </c>
      <c r="K12" s="28" t="s">
        <v>21</v>
      </c>
      <c r="L12" s="28" t="s">
        <v>18</v>
      </c>
      <c r="M12" s="28" t="s">
        <v>61</v>
      </c>
      <c r="N12" s="28" t="s">
        <v>62</v>
      </c>
      <c r="O12" s="28" t="s">
        <v>63</v>
      </c>
    </row>
    <row r="13" spans="1:26" ht="70.5" customHeight="1" x14ac:dyDescent="0.3">
      <c r="B13" s="28" t="s">
        <v>41</v>
      </c>
      <c r="C13" s="28" t="s">
        <v>16</v>
      </c>
      <c r="D13" s="32" t="s">
        <v>90</v>
      </c>
      <c r="E13" s="28" t="s">
        <v>91</v>
      </c>
      <c r="F13" s="28" t="s">
        <v>89</v>
      </c>
      <c r="G13" s="32" t="s">
        <v>92</v>
      </c>
      <c r="H13" s="28" t="s">
        <v>88</v>
      </c>
      <c r="I13" s="28">
        <v>3</v>
      </c>
      <c r="J13" s="29">
        <v>46001</v>
      </c>
      <c r="K13" s="28" t="s">
        <v>21</v>
      </c>
      <c r="L13" s="28" t="s">
        <v>18</v>
      </c>
      <c r="M13" s="28" t="s">
        <v>96</v>
      </c>
      <c r="N13" s="28"/>
      <c r="O13" s="28" t="s">
        <v>93</v>
      </c>
    </row>
    <row r="14" spans="1:26" ht="61.5" customHeight="1" x14ac:dyDescent="0.3">
      <c r="K14" s="26"/>
      <c r="L14" s="26"/>
    </row>
    <row r="15" spans="1:26" ht="58.5" customHeight="1" x14ac:dyDescent="0.3">
      <c r="K15" s="26"/>
      <c r="L15" s="26"/>
    </row>
    <row r="16" spans="1:26" ht="39.75" customHeight="1" x14ac:dyDescent="0.3">
      <c r="K16" s="26"/>
      <c r="L16" s="26"/>
    </row>
    <row r="17" spans="2:15" ht="39.75" customHeight="1" x14ac:dyDescent="0.3">
      <c r="B17" s="33"/>
      <c r="C17" s="34"/>
      <c r="D17" s="34"/>
      <c r="F17" s="34"/>
      <c r="G17" s="34"/>
      <c r="H17" s="34"/>
      <c r="I17" s="35"/>
      <c r="J17" s="36"/>
      <c r="K17" s="35"/>
      <c r="L17" s="35"/>
      <c r="M17" s="34"/>
      <c r="N17" s="34"/>
      <c r="O17" s="34"/>
    </row>
    <row r="18" spans="2:15" ht="39.75" customHeight="1" x14ac:dyDescent="0.3">
      <c r="B18" s="33"/>
      <c r="C18" s="34"/>
      <c r="D18" s="34"/>
      <c r="E18" s="34"/>
      <c r="F18" s="34"/>
      <c r="G18" s="34"/>
      <c r="H18" s="34"/>
      <c r="I18" s="35"/>
      <c r="J18" s="36"/>
      <c r="K18" s="35"/>
      <c r="L18" s="35"/>
      <c r="M18" s="34"/>
      <c r="N18" s="37"/>
      <c r="O18" s="34"/>
    </row>
    <row r="19" spans="2:15" ht="39.75" customHeight="1" x14ac:dyDescent="0.3">
      <c r="B19" s="33"/>
      <c r="C19" s="34"/>
      <c r="D19" s="34"/>
      <c r="F19" s="34"/>
      <c r="G19" s="34"/>
      <c r="H19" s="34"/>
      <c r="I19" s="35"/>
      <c r="J19" s="36"/>
      <c r="K19" s="35"/>
      <c r="L19" s="35"/>
      <c r="M19" s="34"/>
      <c r="N19" s="34"/>
      <c r="O19" s="34"/>
    </row>
    <row r="20" spans="2:15" ht="39.75" customHeight="1" x14ac:dyDescent="0.3">
      <c r="B20" s="33"/>
      <c r="C20" s="34"/>
      <c r="D20" s="34"/>
      <c r="E20" s="34"/>
      <c r="F20" s="34"/>
      <c r="G20" s="34"/>
      <c r="H20" s="34"/>
      <c r="I20" s="35"/>
      <c r="J20" s="36"/>
      <c r="K20" s="35"/>
      <c r="L20" s="35"/>
      <c r="M20" s="37"/>
      <c r="N20" s="34"/>
      <c r="O20" s="34"/>
    </row>
    <row r="21" spans="2:15" ht="39.75" customHeight="1" x14ac:dyDescent="0.3">
      <c r="B21" s="33"/>
      <c r="C21" s="34"/>
      <c r="D21" s="34"/>
      <c r="E21" s="34"/>
      <c r="F21" s="34"/>
      <c r="G21" s="34"/>
      <c r="H21" s="34"/>
      <c r="I21" s="35"/>
      <c r="J21" s="36"/>
      <c r="K21" s="35"/>
      <c r="L21" s="35"/>
      <c r="M21" s="34" t="s">
        <v>20</v>
      </c>
      <c r="N21" s="34"/>
      <c r="O21" s="37"/>
    </row>
    <row r="22" spans="2:15" ht="19.5" customHeight="1" x14ac:dyDescent="0.3">
      <c r="B22" s="26"/>
      <c r="C22" s="26"/>
      <c r="D22" s="26"/>
      <c r="E22" s="26"/>
      <c r="F22" s="26"/>
      <c r="G22" s="26"/>
      <c r="H22" s="26"/>
      <c r="I22" s="24"/>
      <c r="J22" s="24"/>
      <c r="K22" s="25"/>
      <c r="L22" s="24"/>
      <c r="M22" s="26"/>
      <c r="N22" s="26"/>
    </row>
    <row r="23" spans="2:15" ht="19.5" customHeight="1" x14ac:dyDescent="0.3">
      <c r="I23" s="24"/>
      <c r="J23" s="24"/>
      <c r="K23" s="25"/>
      <c r="L23" s="24"/>
    </row>
    <row r="24" spans="2:15" ht="19.5" customHeight="1" x14ac:dyDescent="0.3">
      <c r="H24" s="37"/>
      <c r="I24" s="24"/>
      <c r="J24" s="24"/>
      <c r="K24" s="25"/>
      <c r="L24" s="24"/>
    </row>
    <row r="25" spans="2:15" ht="19.5" customHeight="1" x14ac:dyDescent="0.3">
      <c r="I25" s="24"/>
      <c r="J25" s="24"/>
      <c r="K25" s="25"/>
      <c r="L25" s="24"/>
    </row>
    <row r="26" spans="2:15" ht="19.5" customHeight="1" x14ac:dyDescent="0.3">
      <c r="I26" s="24"/>
      <c r="J26" s="24"/>
      <c r="K26" s="38"/>
      <c r="L26" s="24"/>
    </row>
    <row r="27" spans="2:15" ht="19.5" customHeight="1" x14ac:dyDescent="0.3">
      <c r="I27" s="24"/>
      <c r="J27" s="24"/>
      <c r="K27" s="38"/>
      <c r="L27" s="24"/>
    </row>
    <row r="28" spans="2:15" ht="19.5" customHeight="1" x14ac:dyDescent="0.3">
      <c r="I28" s="24"/>
      <c r="J28" s="24"/>
      <c r="K28" s="25"/>
      <c r="L28" s="24"/>
    </row>
    <row r="29" spans="2:15" ht="19.5" customHeight="1" x14ac:dyDescent="0.3">
      <c r="I29" s="24"/>
    </row>
    <row r="30" spans="2:15" ht="19.5" customHeight="1" x14ac:dyDescent="0.3">
      <c r="I30" s="24"/>
    </row>
    <row r="31" spans="2:15" ht="19.5" customHeight="1" x14ac:dyDescent="0.3">
      <c r="I31" s="24"/>
      <c r="K31" s="25" t="s">
        <v>17</v>
      </c>
      <c r="L31" s="25" t="s">
        <v>19</v>
      </c>
    </row>
    <row r="32" spans="2:15" ht="19.5" customHeight="1" x14ac:dyDescent="0.3">
      <c r="I32" s="24"/>
      <c r="K32" s="25" t="s">
        <v>21</v>
      </c>
      <c r="L32" s="25" t="s">
        <v>18</v>
      </c>
    </row>
    <row r="33" spans="9:12" ht="19.5" customHeight="1" x14ac:dyDescent="0.3">
      <c r="I33" s="24"/>
      <c r="K33" s="25" t="s">
        <v>22</v>
      </c>
      <c r="L33" s="25" t="s">
        <v>23</v>
      </c>
    </row>
    <row r="34" spans="9:12" ht="19.5" customHeight="1" x14ac:dyDescent="0.3">
      <c r="I34" s="24"/>
      <c r="K34" s="25"/>
      <c r="L34" s="25" t="s">
        <v>24</v>
      </c>
    </row>
    <row r="35" spans="9:12" ht="19.5" customHeight="1" x14ac:dyDescent="0.3">
      <c r="I35" s="24"/>
    </row>
    <row r="36" spans="9:12" ht="19.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  <row r="1002" spans="9:12" ht="15.75" customHeight="1" x14ac:dyDescent="0.3">
      <c r="I1002" s="24"/>
      <c r="J1002" s="24"/>
      <c r="K1002" s="25"/>
      <c r="L1002" s="24"/>
    </row>
  </sheetData>
  <mergeCells count="1">
    <mergeCell ref="B3:O3"/>
  </mergeCells>
  <phoneticPr fontId="16" type="noConversion"/>
  <conditionalFormatting sqref="L12:L13 L6: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abSelected="1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65" t="s">
        <v>25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8" t="s">
        <v>26</v>
      </c>
      <c r="F9" s="67"/>
      <c r="G9" s="12"/>
      <c r="H9" s="68" t="s">
        <v>11</v>
      </c>
      <c r="I9" s="67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41</v>
      </c>
      <c r="D10" s="16"/>
      <c r="E10" s="69" t="str">
        <f>VLOOKUP(C10,'Formato descripción HU'!B6:O21,5,0)</f>
        <v>Administradora</v>
      </c>
      <c r="F10" s="67"/>
      <c r="G10" s="17"/>
      <c r="H10" s="69" t="str">
        <f>VLOOKUP(C10,'Formato descripción HU'!B6:O21,11,0)</f>
        <v>En proceso</v>
      </c>
      <c r="I10" s="67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27</v>
      </c>
      <c r="D12" s="16"/>
      <c r="E12" s="68" t="s">
        <v>10</v>
      </c>
      <c r="F12" s="67"/>
      <c r="G12" s="17"/>
      <c r="H12" s="68" t="s">
        <v>28</v>
      </c>
      <c r="I12" s="67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HU'!B6:O21,8,0)</f>
        <v>3</v>
      </c>
      <c r="D13" s="16"/>
      <c r="E13" s="69" t="str">
        <f>VLOOKUP(C10,'Formato descripción HU'!B6:O21,10,0)</f>
        <v xml:space="preserve">Media </v>
      </c>
      <c r="F13" s="67"/>
      <c r="G13" s="17"/>
      <c r="H13" s="69" t="str">
        <f>VLOOKUP(C10,'Formato descripción HU'!B6:O21,7,0)</f>
        <v>GRUPO 6</v>
      </c>
      <c r="I13" s="67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6" t="s">
        <v>29</v>
      </c>
      <c r="D15" s="74" t="str">
        <f>VLOOKUP(C10,'Formato descripción HU'!B6:O21,3,0)</f>
        <v xml:space="preserve">Crear un sistema el cual ayude a la usuaria a gestionar el stock de su local </v>
      </c>
      <c r="E15" s="75"/>
      <c r="F15" s="42"/>
      <c r="G15" s="46" t="s">
        <v>30</v>
      </c>
      <c r="H15" s="74" t="str">
        <f>VLOOKUP(C10,'Formato descripción HU'!B6:O21,4,0)</f>
        <v>Para poder evitar fallos y/o tener un control sobre los egresos e ingresos, y falta de productos</v>
      </c>
      <c r="I15" s="82"/>
      <c r="J15" s="75"/>
      <c r="K15" s="42"/>
      <c r="L15" s="46" t="s">
        <v>31</v>
      </c>
      <c r="M15" s="85" t="str">
        <f>VLOOKUP(C10,'Formato descripción HU'!B6:O21,6,0)</f>
        <v>Ingreso y salida de productos del local, ganancias</v>
      </c>
      <c r="N15" s="57"/>
      <c r="O15" s="58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47"/>
      <c r="D16" s="76"/>
      <c r="E16" s="77"/>
      <c r="F16" s="42"/>
      <c r="G16" s="80"/>
      <c r="H16" s="76"/>
      <c r="I16" s="83"/>
      <c r="J16" s="77"/>
      <c r="K16" s="42"/>
      <c r="L16" s="80"/>
      <c r="M16" s="59"/>
      <c r="N16" s="60"/>
      <c r="O16" s="61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48"/>
      <c r="D17" s="78"/>
      <c r="E17" s="79"/>
      <c r="F17" s="42"/>
      <c r="G17" s="81"/>
      <c r="H17" s="78"/>
      <c r="I17" s="84"/>
      <c r="J17" s="79"/>
      <c r="K17" s="42"/>
      <c r="L17" s="81"/>
      <c r="M17" s="62"/>
      <c r="N17" s="63"/>
      <c r="O17" s="64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49" t="s">
        <v>32</v>
      </c>
      <c r="D19" s="50"/>
      <c r="E19" s="86" t="str">
        <f>VLOOKUP(C10,'Formato descripción HU'!B6:O21,14,0)</f>
        <v>Manejo de stock</v>
      </c>
      <c r="F19" s="87"/>
      <c r="G19" s="87"/>
      <c r="H19" s="87"/>
      <c r="I19" s="87"/>
      <c r="J19" s="87"/>
      <c r="K19" s="87"/>
      <c r="L19" s="87"/>
      <c r="M19" s="87"/>
      <c r="N19" s="87"/>
      <c r="O19" s="88"/>
      <c r="P19" s="14"/>
      <c r="Q19" s="1"/>
    </row>
    <row r="20" spans="1:26" ht="19.5" customHeight="1" x14ac:dyDescent="0.2">
      <c r="B20" s="10"/>
      <c r="C20" s="51"/>
      <c r="D20" s="52"/>
      <c r="E20" s="89"/>
      <c r="F20" s="90"/>
      <c r="G20" s="90"/>
      <c r="H20" s="90"/>
      <c r="I20" s="90"/>
      <c r="J20" s="90"/>
      <c r="K20" s="90"/>
      <c r="L20" s="90"/>
      <c r="M20" s="90"/>
      <c r="N20" s="90"/>
      <c r="O20" s="91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53" t="s">
        <v>33</v>
      </c>
      <c r="D22" s="50"/>
      <c r="E22" s="56" t="str">
        <f>VLOOKUP(C10,'Formato descripción HU'!B6:O21,12,0)</f>
        <v>Registro y mantenimiento diario del stock</v>
      </c>
      <c r="F22" s="57"/>
      <c r="G22" s="57"/>
      <c r="H22" s="58"/>
      <c r="I22" s="13"/>
      <c r="J22" s="53" t="s">
        <v>13</v>
      </c>
      <c r="K22" s="50"/>
      <c r="L22" s="70">
        <f>VLOOKUP(C10,'Formato descripción HU'!B6:O21,13,0)</f>
        <v>0</v>
      </c>
      <c r="M22" s="71"/>
      <c r="N22" s="71"/>
      <c r="O22" s="50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54"/>
      <c r="D23" s="55"/>
      <c r="E23" s="59"/>
      <c r="F23" s="60"/>
      <c r="G23" s="60"/>
      <c r="H23" s="61"/>
      <c r="I23" s="13"/>
      <c r="J23" s="54"/>
      <c r="K23" s="55"/>
      <c r="L23" s="54"/>
      <c r="M23" s="72"/>
      <c r="N23" s="72"/>
      <c r="O23" s="55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51"/>
      <c r="D24" s="52"/>
      <c r="E24" s="62"/>
      <c r="F24" s="63"/>
      <c r="G24" s="63"/>
      <c r="H24" s="64"/>
      <c r="I24" s="13"/>
      <c r="J24" s="51"/>
      <c r="K24" s="52"/>
      <c r="L24" s="51"/>
      <c r="M24" s="73"/>
      <c r="N24" s="73"/>
      <c r="O24" s="52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LABS-ESPE</cp:lastModifiedBy>
  <dcterms:created xsi:type="dcterms:W3CDTF">2019-10-21T15:37:14Z</dcterms:created>
  <dcterms:modified xsi:type="dcterms:W3CDTF">2025-12-17T13:08:40Z</dcterms:modified>
</cp:coreProperties>
</file>